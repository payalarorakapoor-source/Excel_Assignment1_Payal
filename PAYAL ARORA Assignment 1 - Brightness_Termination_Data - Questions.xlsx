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6aa1c9845909f5f/Desktop/TOP MENTOR/All Assignments/Assignment 1 cohort 137/"/>
    </mc:Choice>
  </mc:AlternateContent>
  <xr:revisionPtr revIDLastSave="1" documentId="13_ncr:1_{6127B729-A7E3-4460-9404-040D457E39D3}" xr6:coauthVersionLast="47" xr6:coauthVersionMax="47" xr10:uidLastSave="{4B387E83-D93A-4266-95CF-7632E5CD0557}"/>
  <bookViews>
    <workbookView xWindow="1170" yWindow="1815" windowWidth="19320" windowHeight="7785" activeTab="1" xr2:uid="{00000000-000D-0000-FFFF-FFFF00000000}"/>
  </bookViews>
  <sheets>
    <sheet name="Brightness Termination Data " sheetId="1" r:id="rId1"/>
    <sheet name="Solutions" sheetId="2" r:id="rId2"/>
  </sheets>
  <definedNames>
    <definedName name="_xlnm._FilterDatabase" localSheetId="0" hidden="1">'Brightness Termination Data '!$A$1:$N$1486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6" i="2"/>
  <c r="C47" i="2" s="1"/>
  <c r="M1485" i="1"/>
  <c r="M148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2" i="1"/>
  <c r="C35" i="2" l="1"/>
  <c r="C36" i="2"/>
  <c r="C34" i="2"/>
  <c r="B40" i="2" s="1"/>
  <c r="C13" i="2"/>
  <c r="C16" i="2"/>
  <c r="C17" i="2"/>
  <c r="C21" i="2"/>
  <c r="C24" i="2"/>
  <c r="C12" i="2"/>
  <c r="C4" i="2"/>
  <c r="C14" i="2" s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40" i="2" l="1"/>
  <c r="C20" i="2"/>
  <c r="C29" i="2"/>
  <c r="C23" i="2"/>
  <c r="C19" i="2"/>
  <c r="C15" i="2"/>
  <c r="C8" i="2"/>
  <c r="C22" i="2"/>
  <c r="C18" i="2"/>
</calcChain>
</file>

<file path=xl/sharedStrings.xml><?xml version="1.0" encoding="utf-8"?>
<sst xmlns="http://schemas.openxmlformats.org/spreadsheetml/2006/main" count="10442" uniqueCount="144">
  <si>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</si>
  <si>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</si>
  <si>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</si>
  <si>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</si>
  <si>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</si>
  <si>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</si>
  <si>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</si>
  <si>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</si>
  <si>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</si>
  <si>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</si>
  <si>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</si>
  <si>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</si>
  <si>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</si>
  <si>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</si>
  <si>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</si>
  <si>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</si>
  <si>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</si>
  <si>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</si>
  <si>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</si>
  <si>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</si>
  <si>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</si>
  <si>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</si>
  <si>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</si>
  <si>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</si>
  <si>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</si>
  <si>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</si>
  <si>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</si>
  <si>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</si>
  <si>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</si>
  <si>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</si>
  <si>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</si>
  <si>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</si>
  <si>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</si>
  <si>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</si>
  <si>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</si>
  <si>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</si>
  <si>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</si>
  <si>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</si>
  <si>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</si>
  <si>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</si>
  <si>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</si>
  <si>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</si>
  <si>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</si>
  <si>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</si>
  <si>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</si>
  <si>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</si>
  <si>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</si>
  <si>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</si>
  <si>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</si>
  <si>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</si>
  <si>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</si>
  <si>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</si>
  <si>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</si>
  <si>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</si>
  <si>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</si>
  <si>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</si>
  <si>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</si>
  <si>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</si>
  <si>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</si>
  <si>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</si>
  <si>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</si>
  <si>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</si>
  <si>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</si>
  <si>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</si>
  <si>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</si>
  <si>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</si>
  <si>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</si>
  <si>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</si>
  <si>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</si>
  <si>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</si>
  <si>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</si>
  <si>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</si>
  <si>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</si>
  <si>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</si>
  <si>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</si>
  <si>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</si>
  <si>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</si>
  <si>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</si>
  <si>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</si>
  <si>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</si>
  <si>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</si>
  <si>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</si>
  <si>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</si>
  <si>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</si>
  <si>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</si>
  <si>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</si>
  <si>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</si>
  <si>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</si>
  <si>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</si>
  <si>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</si>
  <si>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</si>
  <si>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</si>
  <si>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</si>
  <si>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</si>
  <si>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</si>
  <si>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</si>
  <si>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</si>
  <si>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</si>
  <si>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</si>
  <si>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</si>
  <si>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</si>
  <si>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</si>
  <si>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</si>
  <si>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</si>
  <si>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</si>
  <si>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</si>
  <si>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</si>
  <si>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</si>
  <si>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</si>
  <si>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</si>
  <si>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</si>
  <si>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</si>
  <si>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</si>
  <si>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</si>
  <si>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</si>
  <si>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</si>
  <si>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</si>
  <si>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</si>
  <si>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</si>
  <si>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</si>
  <si>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</si>
  <si>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</si>
  <si>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</si>
  <si>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</si>
  <si>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</si>
  <si>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</si>
  <si>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</si>
  <si>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</si>
  <si>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</si>
  <si>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</si>
  <si>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</si>
  <si>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</si>
  <si>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</si>
  <si>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</si>
  <si>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</si>
  <si>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b)</t>
  </si>
  <si>
    <t>Total Terminations:</t>
  </si>
  <si>
    <t>Total Voluntary Termination:</t>
  </si>
  <si>
    <t>Voluntary as % of total Termination:</t>
  </si>
  <si>
    <t>G)</t>
  </si>
  <si>
    <t xml:space="preserve">a)termtype_desc </t>
  </si>
  <si>
    <r>
      <t>Emp_PrevSTATUS</t>
    </r>
    <r>
      <rPr>
        <sz val="11"/>
        <color rgb="FFFF0000"/>
        <rFont val="Times New Roman"/>
        <family val="1"/>
      </rPr>
      <t xml:space="preserve"> </t>
    </r>
  </si>
  <si>
    <t>COLUMN "M" UPDATED OF SHEET1</t>
  </si>
  <si>
    <t>COLUMN "E" UPDATED OF 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</si>
</sst>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9" xfId="0" applyFont="1" applyBorder="1"/>
    <xf numFmtId="0" fontId="4" fillId="0" borderId="10" xfId="0" applyFont="1" applyBorder="1"/>
    <xf numFmtId="0" fontId="5" fillId="0" borderId="8" xfId="0" applyFont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6" xfId="0" applyFont="1" applyBorder="1"/>
    <xf numFmtId="10" fontId="1" fillId="2" borderId="7" xfId="1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2" borderId="9" xfId="0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opLeftCell="D1094" workbookViewId="0">
      <selection activeCell="E2" sqref="E2"/>
    </sheetView>
  </sheetViews>
  <sheetFormatPr defaultRowHeight="15" x14ac:dyDescent="0.25"/>
  <cols>
    <col min="1" max="1" width="11.7109375" style="8" bestFit="1" customWidth="1"/>
    <col min="2" max="2" width="12.7109375" bestFit="1" customWidth="1"/>
    <col min="3" max="3" width="20" bestFit="1" customWidth="1"/>
    <col min="4" max="4" width="17" bestFit="1" customWidth="1"/>
    <col min="5" max="5" width="16.28515625" bestFit="1" customWidth="1"/>
    <col min="6" max="6" width="17.85546875" bestFit="1" customWidth="1"/>
    <col min="7" max="7" width="22.5703125" style="9" bestFit="1" customWidth="1"/>
    <col min="8" max="8" width="27.85546875" style="9" bestFit="1" customWidth="1"/>
    <col min="9" max="9" width="11.5703125" bestFit="1" customWidth="1"/>
    <col min="10" max="10" width="12.85546875" bestFit="1" customWidth="1"/>
    <col min="11" max="11" width="11.28515625" bestFit="1" customWidth="1"/>
    <col min="12" max="12" width="16.42578125" bestFit="1" customWidth="1"/>
    <col min="13" max="13" width="14.42578125" bestFit="1" customWidth="1"/>
    <col min="14" max="14" width="15.140625" bestFit="1" customWidth="1"/>
    <col min="15" max="15" width="16.85546875" customWidth="1"/>
    <col min="18" max="18" width="12" bestFit="1" customWidth="1"/>
  </cols>
  <sheetData>
    <row r="1" spans="1:14" s="3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5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IF(D2&lt;=5,"NEWCOMER",IF(D2&gt;10,"EXPERT","PROFICIENT"))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IF(OR(L2="RETIREMENT",L2="RESIGNATION"),"VOLUNTARY","INVOLUNTARY")</f>
        <v>VOLUNTARY</v>
      </c>
      <c r="N2" s="4" t="s">
        <v>20</v>
      </c>
    </row>
    <row r="3" spans="1:14" x14ac:dyDescent="0.25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IF(D3&lt;=5,"NEWCOMER",IF(D3&gt;10,"EXPERT","PROFICIENT"))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IF(OR(L3="RETIREMENT",L3="RESIGNATION"),"VOLUNTARY","INVOLUNTARY")</f>
        <v>VOLUNTARY</v>
      </c>
      <c r="N3" s="4" t="s">
        <v>26</v>
      </c>
    </row>
    <row r="4" spans="1:14" x14ac:dyDescent="0.25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</row>
    <row r="5" spans="1:14" x14ac:dyDescent="0.25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</row>
    <row r="6" spans="1:14" x14ac:dyDescent="0.25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</row>
    <row r="7" spans="1:14" x14ac:dyDescent="0.25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4" x14ac:dyDescent="0.25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25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25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25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25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25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25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25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25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25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25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25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25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25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25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25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25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25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25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25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25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25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25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25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25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25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25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25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25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25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25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25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25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25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25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25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25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25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25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25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25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25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25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25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25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25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25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25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25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25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25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25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25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25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25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25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25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25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25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25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IF(D67&lt;=5,"NEWCOMER",IF(D67&gt;10,"EXPERT","PROFICIENT"))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IF(OR(L67="RETIREMENT",L67="RESIGNATION"),"VOLUNTARY","INVOLUNTARY")</f>
        <v>VOLUNTARY</v>
      </c>
      <c r="N67" s="4" t="s">
        <v>26</v>
      </c>
    </row>
    <row r="68" spans="1:14" x14ac:dyDescent="0.25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25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25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25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25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25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25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25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25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25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25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25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25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25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25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25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25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25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25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25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25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25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25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25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25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25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25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25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25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25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25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25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25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25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25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25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25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25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25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25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25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25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25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25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25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25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25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25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25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25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25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25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25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25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25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25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25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25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25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25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25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25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25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25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IF(D131&lt;=5,"NEWCOMER",IF(D131&gt;10,"EXPERT","PROFICIENT"))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IF(OR(L131="RETIREMENT",L131="RESIGNATION"),"VOLUNTARY","INVOLUNTARY")</f>
        <v>VOLUNTARY</v>
      </c>
      <c r="N131" s="4" t="s">
        <v>20</v>
      </c>
    </row>
    <row r="132" spans="1:14" x14ac:dyDescent="0.25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25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25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25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25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25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25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25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25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25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25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25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25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25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25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25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25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25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25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25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25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25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25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25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25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25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25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25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25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25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25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25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25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25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25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25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25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25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25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25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25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25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25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25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25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25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25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25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25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25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25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25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25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25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25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25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25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25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25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25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25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25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25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25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IF(D195&lt;=5,"NEWCOMER",IF(D195&gt;10,"EXPERT","PROFICIENT"))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IF(OR(L195="RETIREMENT",L195="RESIGNATION"),"VOLUNTARY","INVOLUNTARY")</f>
        <v>VOLUNTARY</v>
      </c>
      <c r="N195" s="4" t="s">
        <v>26</v>
      </c>
    </row>
    <row r="196" spans="1:14" x14ac:dyDescent="0.25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25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25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25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25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25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25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25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25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25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25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25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25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25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25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25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25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25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25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25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25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25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25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25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25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25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25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25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25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25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25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25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25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25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25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25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25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25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25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25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25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25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25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25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25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25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25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25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25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25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25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25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25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25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25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25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25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25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25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25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25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25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25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25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IF(D259&lt;=5,"NEWCOMER",IF(D259&gt;10,"EXPERT","PROFICIENT"))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IF(OR(L259="RETIREMENT",L259="RESIGNATION"),"VOLUNTARY","INVOLUNTARY")</f>
        <v>VOLUNTARY</v>
      </c>
      <c r="N259" s="4" t="s">
        <v>26</v>
      </c>
    </row>
    <row r="260" spans="1:14" x14ac:dyDescent="0.25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25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25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25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25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25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25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25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25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25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25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25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25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25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25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25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25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25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25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25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25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25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25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25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25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25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25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25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25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25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25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25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25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25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25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25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25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25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25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25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25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25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25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25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25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25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25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25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25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25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25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25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25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25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25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25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25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25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25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25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25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25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25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25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IF(D323&lt;=5,"NEWCOMER",IF(D323&gt;10,"EXPERT","PROFICIENT"))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IF(OR(L323="RETIREMENT",L323="RESIGNATION"),"VOLUNTARY","INVOLUNTARY")</f>
        <v>INVOLUNTARY</v>
      </c>
      <c r="N323" s="4" t="s">
        <v>26</v>
      </c>
    </row>
    <row r="324" spans="1:14" x14ac:dyDescent="0.25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25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25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25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25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25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25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25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25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25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25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25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25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25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25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25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25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25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25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25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25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25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25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25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25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25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25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25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25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25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25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25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25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25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25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25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25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25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25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25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25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25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25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25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25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25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25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25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25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25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25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25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25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25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25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25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25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25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25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25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25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25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25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25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IF(D387&lt;=5,"NEWCOMER",IF(D387&gt;10,"EXPERT","PROFICIENT"))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IF(OR(L387="RETIREMENT",L387="RESIGNATION"),"VOLUNTARY","INVOLUNTARY")</f>
        <v>VOLUNTARY</v>
      </c>
      <c r="N387" s="4" t="s">
        <v>26</v>
      </c>
    </row>
    <row r="388" spans="1:14" x14ac:dyDescent="0.25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25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25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25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25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25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25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25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25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25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25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25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25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25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25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25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25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25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25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25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25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25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25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25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25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25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25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25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25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25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25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25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25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25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25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25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25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25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25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25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25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25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25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25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25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25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25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25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25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25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25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25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25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25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25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25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25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25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25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25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25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25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25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25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IF(D451&lt;=5,"NEWCOMER",IF(D451&gt;10,"EXPERT","PROFICIENT"))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IF(OR(L451="RETIREMENT",L451="RESIGNATION"),"VOLUNTARY","INVOLUNTARY")</f>
        <v>VOLUNTARY</v>
      </c>
      <c r="N451" s="4" t="s">
        <v>26</v>
      </c>
    </row>
    <row r="452" spans="1:14" x14ac:dyDescent="0.25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25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25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25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25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25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25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25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25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25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25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25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25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25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25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25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25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25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25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25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25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25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25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25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25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25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25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25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25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25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25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25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25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25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25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25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25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25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25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25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25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25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25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25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25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25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25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25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25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25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25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25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25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25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25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25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25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25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25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25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25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25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25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25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IF(D515&lt;=5,"NEWCOMER",IF(D515&gt;10,"EXPERT","PROFICIENT"))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IF(OR(L515="RETIREMENT",L515="RESIGNATION"),"VOLUNTARY","INVOLUNTARY")</f>
        <v>INVOLUNTARY</v>
      </c>
      <c r="N515" s="4" t="s">
        <v>26</v>
      </c>
    </row>
    <row r="516" spans="1:14" x14ac:dyDescent="0.25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25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25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25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25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25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25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25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25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25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25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25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25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25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25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25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25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25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25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25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25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25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25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25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25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25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25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25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25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25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25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25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25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25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25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25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25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25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25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25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25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25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25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25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25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25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25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25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25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25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25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25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25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25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25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25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25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25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25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25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25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25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25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25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IF(D579&lt;=5,"NEWCOMER",IF(D579&gt;10,"EXPERT","PROFICIENT"))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IF(OR(L579="RETIREMENT",L579="RESIGNATION"),"VOLUNTARY","INVOLUNTARY")</f>
        <v>INVOLUNTARY</v>
      </c>
      <c r="N579" s="4" t="s">
        <v>26</v>
      </c>
    </row>
    <row r="580" spans="1:14" x14ac:dyDescent="0.25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25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25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25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25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25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25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25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25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25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25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25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25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25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25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25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25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25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25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25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25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25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25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25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25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25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25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25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25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25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25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25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25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25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25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25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25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25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25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25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25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25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25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25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25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25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25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25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25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25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25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25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25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25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25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25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25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25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25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25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25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25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25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25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IF(D643&lt;=5,"NEWCOMER",IF(D643&gt;10,"EXPERT","PROFICIENT"))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IF(OR(L643="RETIREMENT",L643="RESIGNATION"),"VOLUNTARY","INVOLUNTARY")</f>
        <v>INVOLUNTARY</v>
      </c>
      <c r="N643" s="4" t="s">
        <v>26</v>
      </c>
    </row>
    <row r="644" spans="1:14" x14ac:dyDescent="0.25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25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25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25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25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25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25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25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25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25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25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25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25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25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25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25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25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25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25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25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25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25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25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25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25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25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25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25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25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25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25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25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25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25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25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25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25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25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25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25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25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25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25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25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25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25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25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25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25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25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25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25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25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25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25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25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25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25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25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25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25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25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25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25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IF(D707&lt;=5,"NEWCOMER",IF(D707&gt;10,"EXPERT","PROFICIENT"))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IF(OR(L707="RETIREMENT",L707="RESIGNATION"),"VOLUNTARY","INVOLUNTARY")</f>
        <v>INVOLUNTARY</v>
      </c>
      <c r="N707" s="4" t="s">
        <v>26</v>
      </c>
    </row>
    <row r="708" spans="1:14" x14ac:dyDescent="0.25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25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25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25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25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25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25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25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25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25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25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25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25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25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25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25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25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25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25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25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25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25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25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25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25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25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25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25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25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25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25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25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25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25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25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25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25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25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25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25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25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25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25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25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25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25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25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25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25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25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25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25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25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25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25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25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25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25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25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25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25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25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25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25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IF(D771&lt;=5,"NEWCOMER",IF(D771&gt;10,"EXPERT","PROFICIENT"))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IF(OR(L771="RETIREMENT",L771="RESIGNATION"),"VOLUNTARY","INVOLUNTARY")</f>
        <v>INVOLUNTARY</v>
      </c>
      <c r="N771" s="4" t="s">
        <v>26</v>
      </c>
    </row>
    <row r="772" spans="1:14" x14ac:dyDescent="0.25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25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25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25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25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25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25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25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25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25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25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25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25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25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25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25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25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25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25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25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25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25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25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25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25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25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25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25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25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25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25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25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25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25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25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25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25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25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25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25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25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25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25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25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25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25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25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25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25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25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25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25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25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25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25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25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25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25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25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25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25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25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25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25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IF(D835&lt;=5,"NEWCOMER",IF(D835&gt;10,"EXPERT","PROFICIENT"))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IF(OR(L835="RETIREMENT",L835="RESIGNATION"),"VOLUNTARY","INVOLUNTARY")</f>
        <v>INVOLUNTARY</v>
      </c>
      <c r="N835" s="4" t="s">
        <v>26</v>
      </c>
    </row>
    <row r="836" spans="1:14" x14ac:dyDescent="0.25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25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25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25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25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25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25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25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25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25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25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25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25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25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25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25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25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25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25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25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25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25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25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25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25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25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25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25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25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25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25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25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25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25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25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25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25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25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25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25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25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25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25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25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25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25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25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25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25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25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25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25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25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25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25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25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25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25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25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25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25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25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25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25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IF(D899&lt;=5,"NEWCOMER",IF(D899&gt;10,"EXPERT","PROFICIENT"))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IF(OR(L899="RETIREMENT",L899="RESIGNATION"),"VOLUNTARY","INVOLUNTARY")</f>
        <v>INVOLUNTARY</v>
      </c>
      <c r="N899" s="4" t="s">
        <v>26</v>
      </c>
    </row>
    <row r="900" spans="1:14" x14ac:dyDescent="0.25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25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25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25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25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25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25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25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25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25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25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25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25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25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25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25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25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25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25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25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25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25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25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25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25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25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25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25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25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25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25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25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25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25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25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25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25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25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25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25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25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25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25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25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25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25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25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25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25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25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25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25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25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25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25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25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25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25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25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25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25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25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25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25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IF(D963&lt;=5,"NEWCOMER",IF(D963&gt;10,"EXPERT","PROFICIENT"))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IF(OR(L963="RETIREMENT",L963="RESIGNATION"),"VOLUNTARY","INVOLUNTARY")</f>
        <v>INVOLUNTARY</v>
      </c>
      <c r="N963" s="4" t="s">
        <v>26</v>
      </c>
    </row>
    <row r="964" spans="1:14" x14ac:dyDescent="0.25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25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25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25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25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25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25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25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25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25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25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25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25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25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25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25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25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25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25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25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25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25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25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25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25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25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25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25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25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25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25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25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25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25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25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25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25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25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25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25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25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25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25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25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25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25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25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25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25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25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25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25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25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25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25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25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25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25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25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25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25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25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25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25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IF(D1027&lt;=5,"NEWCOMER",IF(D1027&gt;10,"EXPERT","PROFICIENT"))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IF(OR(L1027="RETIREMENT",L1027="RESIGNATION"),"VOLUNTARY","INVOLUNTARY")</f>
        <v>VOLUNTARY</v>
      </c>
      <c r="N1027" s="4" t="s">
        <v>26</v>
      </c>
    </row>
    <row r="1028" spans="1:14" x14ac:dyDescent="0.25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25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25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25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25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25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25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25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25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25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25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25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25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25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25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25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25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25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25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25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25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25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25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25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25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25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25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25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25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25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25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25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25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25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25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25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25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25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25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25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25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25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25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25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25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25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25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25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25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25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25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25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25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25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25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25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25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25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25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25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25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25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25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25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IF(D1091&lt;=5,"NEWCOMER",IF(D1091&gt;10,"EXPERT","PROFICIENT"))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IF(OR(L1091="RETIREMENT",L1091="RESIGNATION"),"VOLUNTARY","INVOLUNTARY")</f>
        <v>INVOLUNTARY</v>
      </c>
      <c r="N1091" s="4" t="s">
        <v>26</v>
      </c>
    </row>
    <row r="1092" spans="1:14" x14ac:dyDescent="0.25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25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25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25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25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25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25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25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25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25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25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25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25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25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25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25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25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25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25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25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25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25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25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25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25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25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25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25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25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25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25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25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25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25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25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25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25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25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25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25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25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25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25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25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25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25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25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25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25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25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25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25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25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25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25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25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25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25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25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25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25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25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25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25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IF(D1155&lt;=5,"NEWCOMER",IF(D1155&gt;10,"EXPERT","PROFICIENT"))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IF(OR(L1155="RETIREMENT",L1155="RESIGNATION"),"VOLUNTARY","INVOLUNTARY")</f>
        <v>VOLUNTARY</v>
      </c>
      <c r="N1155" s="4" t="s">
        <v>26</v>
      </c>
    </row>
    <row r="1156" spans="1:14" x14ac:dyDescent="0.25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25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25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25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25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25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25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25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25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25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25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25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25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25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25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25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25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25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25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25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25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25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25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25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25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25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25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25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25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25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25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25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25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25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25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25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25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25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25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25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25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25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25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25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25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25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25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25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25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25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25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25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25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25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25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25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25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25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25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25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25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25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25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25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IF(D1219&lt;=5,"NEWCOMER",IF(D1219&gt;10,"EXPERT","PROFICIENT"))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IF(OR(L1219="RETIREMENT",L1219="RESIGNATION"),"VOLUNTARY","INVOLUNTARY")</f>
        <v>INVOLUNTARY</v>
      </c>
      <c r="N1219" s="4" t="s">
        <v>26</v>
      </c>
    </row>
    <row r="1220" spans="1:14" x14ac:dyDescent="0.25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25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25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25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25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25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25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25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25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25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25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25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25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25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25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25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25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25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25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25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25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25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25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25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25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25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25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25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25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25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25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25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25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25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25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25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25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25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25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25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25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25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25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25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25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25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25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25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25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25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25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25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25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25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25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25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25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25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25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25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25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25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25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25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IF(D1283&lt;=5,"NEWCOMER",IF(D1283&gt;10,"EXPERT","PROFICIENT"))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IF(OR(L1283="RETIREMENT",L1283="RESIGNATION"),"VOLUNTARY","INVOLUNTARY")</f>
        <v>VOLUNTARY</v>
      </c>
      <c r="N1283" s="4" t="s">
        <v>26</v>
      </c>
    </row>
    <row r="1284" spans="1:14" x14ac:dyDescent="0.25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25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25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25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25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25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25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25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25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25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25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25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25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25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25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25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25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25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25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25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25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25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25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25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25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25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25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25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25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25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25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25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25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25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25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25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25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25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25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25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25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25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25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25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25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25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25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25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25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25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25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25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25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25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25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25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25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25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25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25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25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25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25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25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IF(D1347&lt;=5,"NEWCOMER",IF(D1347&gt;10,"EXPERT","PROFICIENT"))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IF(OR(L1347="RETIREMENT",L1347="RESIGNATION"),"VOLUNTARY","INVOLUNTARY")</f>
        <v>VOLUNTARY</v>
      </c>
      <c r="N1347" s="4" t="s">
        <v>26</v>
      </c>
    </row>
    <row r="1348" spans="1:14" x14ac:dyDescent="0.25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25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25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25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25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25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25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25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25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25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25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25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25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25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25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25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25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25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25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25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25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25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25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25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25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25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25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25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25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25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25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25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25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25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25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25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25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25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25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25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25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25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25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25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25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25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25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25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25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25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25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25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25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25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25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25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25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25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25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25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25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25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25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25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IF(D1411&lt;=5,"NEWCOMER",IF(D1411&gt;10,"EXPERT","PROFICIENT"))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IF(OR(L1411="RETIREMENT",L1411="RESIGNATION"),"VOLUNTARY","INVOLUNTARY")</f>
        <v>VOLUNTARY</v>
      </c>
      <c r="N1411" s="4" t="s">
        <v>26</v>
      </c>
    </row>
    <row r="1412" spans="1:14" x14ac:dyDescent="0.25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25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25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25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25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25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25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25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25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25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25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25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25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25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25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25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25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25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25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25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25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25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25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25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25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25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25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25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25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25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25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25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25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25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25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25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25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25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25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25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25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25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25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25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25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25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25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25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25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25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25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25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25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25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25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25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25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25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25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25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25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25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25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25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IF(D1475&lt;=5,"NEWCOMER",IF(D1475&gt;10,"EXPERT","PROFICIENT"))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4" si="71">IF(OR(L1475="RETIREMENT",L1475="RESIGNATION"),"VOLUNTARY","INVOLUNTARY")</f>
        <v>VOLUNTARY</v>
      </c>
      <c r="N1475" s="4" t="s">
        <v>26</v>
      </c>
    </row>
    <row r="1476" spans="1:14" x14ac:dyDescent="0.25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25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25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25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25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25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25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25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25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25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>IF(OR(L1485="RETIREMENT",L1485="RESIGNATION"),"VOLUNTARY","INVOLUNTARY")</f>
        <v>VOLUNTARY</v>
      </c>
      <c r="N1485" s="4" t="s">
        <v>26</v>
      </c>
    </row>
    <row r="1486" spans="1:14" x14ac:dyDescent="0.25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ref="M1486" si="72">IF(OR(L1486="RETIREMENT",L1486="RESIGNATION"),"VOLUNTARY","INVOLUNTARY")</f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workbookViewId="0">
      <selection activeCell="E10" sqref="E10"/>
    </sheetView>
  </sheetViews>
  <sheetFormatPr defaultRowHeight="15" x14ac:dyDescent="0.25"/>
  <cols>
    <col min="1" max="1" width="8.85546875" style="20"/>
    <col min="2" max="2" width="31.5703125" customWidth="1"/>
    <col min="3" max="3" width="33.42578125" customWidth="1"/>
  </cols>
  <sheetData>
    <row r="1" spans="1:3" x14ac:dyDescent="0.25">
      <c r="A1" s="20" t="s">
        <v>119</v>
      </c>
    </row>
    <row r="3" spans="1:3" ht="15.75" thickBot="1" x14ac:dyDescent="0.3">
      <c r="A3" s="20" t="s">
        <v>120</v>
      </c>
    </row>
    <row r="4" spans="1:3" ht="15.75" thickBot="1" x14ac:dyDescent="0.3">
      <c r="B4" s="30" t="s">
        <v>122</v>
      </c>
      <c r="C4" s="31">
        <f>COUNT('Brightness Termination Data '!A2:A1486)</f>
        <v>1485</v>
      </c>
    </row>
    <row r="5" spans="1:3" x14ac:dyDescent="0.25">
      <c r="C5" s="8"/>
    </row>
    <row r="6" spans="1:3" ht="15.75" thickBot="1" x14ac:dyDescent="0.3">
      <c r="A6" s="20" t="s">
        <v>121</v>
      </c>
      <c r="C6" s="8"/>
    </row>
    <row r="7" spans="1:3" x14ac:dyDescent="0.25">
      <c r="B7" s="24" t="s">
        <v>123</v>
      </c>
      <c r="C7" s="32">
        <v>7.0000000000000007E-2</v>
      </c>
    </row>
    <row r="8" spans="1:3" ht="15.75" thickBot="1" x14ac:dyDescent="0.3">
      <c r="B8" s="18" t="s">
        <v>124</v>
      </c>
      <c r="C8" s="33">
        <f>C4+(C4*C7)</f>
        <v>1588.95</v>
      </c>
    </row>
    <row r="10" spans="1:3" ht="15.75" thickBot="1" x14ac:dyDescent="0.3">
      <c r="A10" s="20" t="s">
        <v>125</v>
      </c>
    </row>
    <row r="11" spans="1:3" x14ac:dyDescent="0.25">
      <c r="B11" s="13" t="s">
        <v>126</v>
      </c>
      <c r="C11" s="14" t="s">
        <v>127</v>
      </c>
    </row>
    <row r="12" spans="1:3" x14ac:dyDescent="0.25">
      <c r="B12" s="16">
        <v>0.04</v>
      </c>
      <c r="C12" s="11">
        <f>$C$4+($C$4*B12)</f>
        <v>1544.4</v>
      </c>
    </row>
    <row r="13" spans="1:3" x14ac:dyDescent="0.25">
      <c r="B13" s="16">
        <v>4.4999999999999998E-2</v>
      </c>
      <c r="C13" s="11">
        <f t="shared" ref="C13:C24" si="0">$C$4+($C$4*B13)</f>
        <v>1551.825</v>
      </c>
    </row>
    <row r="14" spans="1:3" x14ac:dyDescent="0.25">
      <c r="B14" s="16">
        <v>0.05</v>
      </c>
      <c r="C14" s="11">
        <f t="shared" si="0"/>
        <v>1559.25</v>
      </c>
    </row>
    <row r="15" spans="1:3" x14ac:dyDescent="0.25">
      <c r="B15" s="16">
        <v>5.5E-2</v>
      </c>
      <c r="C15" s="11">
        <f t="shared" si="0"/>
        <v>1566.675</v>
      </c>
    </row>
    <row r="16" spans="1:3" x14ac:dyDescent="0.25">
      <c r="B16" s="16">
        <v>0.06</v>
      </c>
      <c r="C16" s="11">
        <f t="shared" si="0"/>
        <v>1574.1</v>
      </c>
    </row>
    <row r="17" spans="1:3" x14ac:dyDescent="0.25">
      <c r="B17" s="16">
        <v>6.5000000000000002E-2</v>
      </c>
      <c r="C17" s="11">
        <f t="shared" si="0"/>
        <v>1581.5250000000001</v>
      </c>
    </row>
    <row r="18" spans="1:3" x14ac:dyDescent="0.25">
      <c r="B18" s="16">
        <v>7.0000000000000007E-2</v>
      </c>
      <c r="C18" s="11">
        <f t="shared" si="0"/>
        <v>1588.95</v>
      </c>
    </row>
    <row r="19" spans="1:3" x14ac:dyDescent="0.25">
      <c r="B19" s="16">
        <v>7.4999999999999997E-2</v>
      </c>
      <c r="C19" s="11">
        <f t="shared" si="0"/>
        <v>1596.375</v>
      </c>
    </row>
    <row r="20" spans="1:3" x14ac:dyDescent="0.25">
      <c r="B20" s="16">
        <v>0.08</v>
      </c>
      <c r="C20" s="11">
        <f t="shared" si="0"/>
        <v>1603.8</v>
      </c>
    </row>
    <row r="21" spans="1:3" x14ac:dyDescent="0.25">
      <c r="B21" s="16">
        <v>8.5000000000000006E-2</v>
      </c>
      <c r="C21" s="11">
        <f t="shared" si="0"/>
        <v>1611.2249999999999</v>
      </c>
    </row>
    <row r="22" spans="1:3" x14ac:dyDescent="0.25">
      <c r="B22" s="16">
        <v>0.09</v>
      </c>
      <c r="C22" s="11">
        <f t="shared" si="0"/>
        <v>1618.65</v>
      </c>
    </row>
    <row r="23" spans="1:3" x14ac:dyDescent="0.25">
      <c r="B23" s="16">
        <v>9.5000000000000001E-2</v>
      </c>
      <c r="C23" s="11">
        <f t="shared" si="0"/>
        <v>1626.075</v>
      </c>
    </row>
    <row r="24" spans="1:3" ht="15.75" thickBot="1" x14ac:dyDescent="0.3">
      <c r="B24" s="15">
        <v>0.1</v>
      </c>
      <c r="C24" s="11">
        <f t="shared" si="0"/>
        <v>1633.5</v>
      </c>
    </row>
    <row r="25" spans="1:3" ht="15.75" thickBot="1" x14ac:dyDescent="0.3">
      <c r="B25" s="28"/>
      <c r="C25" s="29"/>
    </row>
    <row r="26" spans="1:3" x14ac:dyDescent="0.25">
      <c r="A26" s="20" t="s">
        <v>128</v>
      </c>
    </row>
    <row r="27" spans="1:3" ht="15.75" thickBot="1" x14ac:dyDescent="0.3">
      <c r="B27" t="s">
        <v>129</v>
      </c>
    </row>
    <row r="28" spans="1:3" x14ac:dyDescent="0.25">
      <c r="B28" s="13" t="s">
        <v>126</v>
      </c>
      <c r="C28" s="14" t="s">
        <v>127</v>
      </c>
    </row>
    <row r="29" spans="1:3" ht="15.75" thickBot="1" x14ac:dyDescent="0.3">
      <c r="B29" s="15">
        <v>4.4999999999999998E-2</v>
      </c>
      <c r="C29" s="12">
        <f>C4+(C4*B29)</f>
        <v>1551.825</v>
      </c>
    </row>
    <row r="31" spans="1:3" x14ac:dyDescent="0.25">
      <c r="A31" s="20" t="s">
        <v>130</v>
      </c>
    </row>
    <row r="32" spans="1:3" ht="15.75" thickBot="1" x14ac:dyDescent="0.3">
      <c r="B32" s="10" t="s">
        <v>122</v>
      </c>
    </row>
    <row r="33" spans="1:3" x14ac:dyDescent="0.25">
      <c r="B33" s="13" t="s">
        <v>131</v>
      </c>
      <c r="C33" s="14" t="s">
        <v>132</v>
      </c>
    </row>
    <row r="34" spans="1:3" x14ac:dyDescent="0.25">
      <c r="B34" s="4" t="s">
        <v>19</v>
      </c>
      <c r="C34" s="11">
        <f>COUNTIF('Brightness Termination Data '!$L$2:$L$1486,Solutions!B34)</f>
        <v>392</v>
      </c>
    </row>
    <row r="35" spans="1:3" x14ac:dyDescent="0.25">
      <c r="B35" s="4" t="s">
        <v>50</v>
      </c>
      <c r="C35" s="11">
        <f>COUNTIF('Brightness Termination Data '!$L$2:$L$1486,Solutions!B35)</f>
        <v>385</v>
      </c>
    </row>
    <row r="36" spans="1:3" x14ac:dyDescent="0.25">
      <c r="B36" s="4" t="s">
        <v>96</v>
      </c>
      <c r="C36" s="11">
        <f>COUNTIF('Brightness Termination Data '!$L$2:$L$1486,Solutions!B36)</f>
        <v>708</v>
      </c>
    </row>
    <row r="38" spans="1:3" ht="15.75" thickBot="1" x14ac:dyDescent="0.3">
      <c r="B38" s="19" t="s">
        <v>133</v>
      </c>
    </row>
    <row r="39" spans="1:3" x14ac:dyDescent="0.25">
      <c r="B39" s="13" t="s">
        <v>131</v>
      </c>
      <c r="C39" s="14" t="s">
        <v>132</v>
      </c>
    </row>
    <row r="40" spans="1:3" ht="15.75" thickBot="1" x14ac:dyDescent="0.3">
      <c r="B40" s="18" t="str">
        <f>_xlfn.XLOOKUP(MAX(C34:C36),C34:C36,B34:B36,"NA",0,1)</f>
        <v>Layoff</v>
      </c>
      <c r="C40" s="12">
        <f>MAX(C34:C36)</f>
        <v>708</v>
      </c>
    </row>
    <row r="42" spans="1:3" ht="15.75" thickBot="1" x14ac:dyDescent="0.3">
      <c r="A42" s="20" t="s">
        <v>134</v>
      </c>
      <c r="B42" s="22" t="s">
        <v>140</v>
      </c>
      <c r="C42" s="22" t="s">
        <v>142</v>
      </c>
    </row>
    <row r="44" spans="1:3" ht="15.75" thickBot="1" x14ac:dyDescent="0.3">
      <c r="B44" t="s">
        <v>135</v>
      </c>
    </row>
    <row r="45" spans="1:3" x14ac:dyDescent="0.25">
      <c r="B45" s="24" t="s">
        <v>136</v>
      </c>
      <c r="C45" s="25">
        <v>1485</v>
      </c>
    </row>
    <row r="46" spans="1:3" x14ac:dyDescent="0.25">
      <c r="B46" s="17" t="s">
        <v>137</v>
      </c>
      <c r="C46" s="11">
        <f>COUNTIF('Brightness Termination Data '!$M$2:$M$1486,"VOLUNTARY")</f>
        <v>777</v>
      </c>
    </row>
    <row r="47" spans="1:3" ht="15.75" thickBot="1" x14ac:dyDescent="0.3">
      <c r="B47" s="26" t="s">
        <v>138</v>
      </c>
      <c r="C47" s="27">
        <f>C46/C45</f>
        <v>0.52323232323232327</v>
      </c>
    </row>
    <row r="48" spans="1:3" ht="15.75" thickBot="1" x14ac:dyDescent="0.3"/>
    <row r="49" spans="1:3" ht="15.75" thickBot="1" x14ac:dyDescent="0.3">
      <c r="A49" s="20" t="s">
        <v>139</v>
      </c>
      <c r="B49" s="23" t="s">
        <v>141</v>
      </c>
      <c r="C49" s="2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Brightness Termination Data 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Payal Arora</cp:lastModifiedBy>
  <dcterms:created xsi:type="dcterms:W3CDTF">2022-04-06T06:28:55Z</dcterms:created>
  <dcterms:modified xsi:type="dcterms:W3CDTF">2026-08-03T18:12:33Z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